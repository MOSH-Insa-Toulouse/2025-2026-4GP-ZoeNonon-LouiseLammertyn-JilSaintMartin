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e/Documents/insa/insa4/semestre 2/du capteur au banc de test/Github/MOSH-Insa-Toulouse/2025-2026-4GP-ZoeNonon-LouiseLammertyn/6.Banc de tests/"/>
    </mc:Choice>
  </mc:AlternateContent>
  <xr:revisionPtr revIDLastSave="0" documentId="13_ncr:1_{9D5781AC-A938-3A43-B081-422C4F65650A}" xr6:coauthVersionLast="47" xr6:coauthVersionMax="47" xr10:uidLastSave="{00000000-0000-0000-0000-000000000000}"/>
  <bookViews>
    <workbookView xWindow="0" yWindow="0" windowWidth="28800" windowHeight="18000" activeTab="2" xr2:uid="{ACA903E1-C173-A64A-9CEA-45C788F0B547}"/>
  </bookViews>
  <sheets>
    <sheet name="compression" sheetId="1" r:id="rId1"/>
    <sheet name="flexion" sheetId="2" r:id="rId2"/>
    <sheet name="Flex sensor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J23" i="3"/>
  <c r="J22" i="3"/>
  <c r="J21" i="3"/>
  <c r="J20" i="3"/>
  <c r="C14" i="3"/>
  <c r="D14" i="3" s="1"/>
  <c r="J13" i="3"/>
  <c r="C13" i="3"/>
  <c r="D13" i="3" s="1"/>
  <c r="J12" i="3"/>
  <c r="C12" i="3"/>
  <c r="D12" i="3" s="1"/>
  <c r="J11" i="3"/>
  <c r="C11" i="3"/>
  <c r="D11" i="3" s="1"/>
  <c r="J10" i="3"/>
  <c r="C10" i="3"/>
  <c r="D10" i="3" s="1"/>
  <c r="J9" i="3"/>
  <c r="C9" i="3"/>
  <c r="D9" i="3" s="1"/>
  <c r="J14" i="1"/>
  <c r="J10" i="1"/>
  <c r="J11" i="1"/>
  <c r="J12" i="1"/>
  <c r="J13" i="1"/>
  <c r="S10" i="1"/>
  <c r="S11" i="1"/>
  <c r="S12" i="1"/>
  <c r="S13" i="1"/>
  <c r="S14" i="1"/>
  <c r="S9" i="1"/>
  <c r="P10" i="1"/>
  <c r="P11" i="1"/>
  <c r="P12" i="1"/>
  <c r="P13" i="1"/>
  <c r="P14" i="1"/>
  <c r="P9" i="1"/>
  <c r="M10" i="1"/>
  <c r="M11" i="1"/>
  <c r="M12" i="1"/>
  <c r="M13" i="1"/>
  <c r="M14" i="1"/>
  <c r="M9" i="1"/>
  <c r="J9" i="1"/>
  <c r="S21" i="1"/>
  <c r="S22" i="1"/>
  <c r="S23" i="1"/>
  <c r="S24" i="1"/>
  <c r="S25" i="1"/>
  <c r="S20" i="1"/>
  <c r="P21" i="1"/>
  <c r="P22" i="1"/>
  <c r="P23" i="1"/>
  <c r="P24" i="1"/>
  <c r="P25" i="1"/>
  <c r="P20" i="1"/>
  <c r="M21" i="1"/>
  <c r="M22" i="1"/>
  <c r="M23" i="1"/>
  <c r="M24" i="1"/>
  <c r="M25" i="1"/>
  <c r="M20" i="1"/>
  <c r="J21" i="1"/>
  <c r="J22" i="1"/>
  <c r="J23" i="1"/>
  <c r="J24" i="1"/>
  <c r="J25" i="1"/>
  <c r="J20" i="1"/>
  <c r="S10" i="2"/>
  <c r="S11" i="2"/>
  <c r="S12" i="2"/>
  <c r="S13" i="2"/>
  <c r="S14" i="2"/>
  <c r="S9" i="2"/>
  <c r="J9" i="2"/>
  <c r="S21" i="2"/>
  <c r="S22" i="2"/>
  <c r="S23" i="2"/>
  <c r="S24" i="2"/>
  <c r="S25" i="2"/>
  <c r="S20" i="2"/>
  <c r="P21" i="2"/>
  <c r="P22" i="2"/>
  <c r="P23" i="2"/>
  <c r="P24" i="2"/>
  <c r="P25" i="2"/>
  <c r="P20" i="2"/>
  <c r="M21" i="2"/>
  <c r="M22" i="2"/>
  <c r="M23" i="2"/>
  <c r="M24" i="2"/>
  <c r="M25" i="2"/>
  <c r="M20" i="2"/>
  <c r="P10" i="2"/>
  <c r="P11" i="2"/>
  <c r="P12" i="2"/>
  <c r="P13" i="2"/>
  <c r="P14" i="2"/>
  <c r="P9" i="2"/>
  <c r="M10" i="2"/>
  <c r="M11" i="2"/>
  <c r="M12" i="2"/>
  <c r="M13" i="2"/>
  <c r="M14" i="2"/>
  <c r="M9" i="2"/>
  <c r="J21" i="2"/>
  <c r="J22" i="2"/>
  <c r="J23" i="2"/>
  <c r="J24" i="2"/>
  <c r="J25" i="2"/>
  <c r="J20" i="2"/>
  <c r="J14" i="2"/>
  <c r="C14" i="2"/>
  <c r="D14" i="2" s="1"/>
  <c r="J13" i="2"/>
  <c r="C13" i="2"/>
  <c r="D13" i="2" s="1"/>
  <c r="J12" i="2"/>
  <c r="C12" i="2"/>
  <c r="D12" i="2" s="1"/>
  <c r="J11" i="2"/>
  <c r="C11" i="2"/>
  <c r="D11" i="2" s="1"/>
  <c r="J10" i="2"/>
  <c r="C10" i="2"/>
  <c r="D10" i="2" s="1"/>
  <c r="C9" i="2"/>
  <c r="D9" i="2" s="1"/>
  <c r="C10" i="1"/>
  <c r="D10" i="1" s="1"/>
  <c r="C11" i="1"/>
  <c r="D11" i="1" s="1"/>
  <c r="C12" i="1"/>
  <c r="D12" i="1" s="1"/>
  <c r="C13" i="1"/>
  <c r="D13" i="1" s="1"/>
  <c r="C14" i="1"/>
  <c r="D14" i="1" s="1"/>
  <c r="C9" i="1"/>
  <c r="D9" i="1" s="1"/>
</calcChain>
</file>

<file path=xl/sharedStrings.xml><?xml version="1.0" encoding="utf-8"?>
<sst xmlns="http://schemas.openxmlformats.org/spreadsheetml/2006/main" count="111" uniqueCount="31">
  <si>
    <t>R0</t>
  </si>
  <si>
    <t>R</t>
  </si>
  <si>
    <t>e</t>
  </si>
  <si>
    <t xml:space="preserve">Banc de test </t>
  </si>
  <si>
    <t>Epsilon</t>
  </si>
  <si>
    <t>Test compression</t>
  </si>
  <si>
    <t>type crayon</t>
  </si>
  <si>
    <t>4B</t>
  </si>
  <si>
    <t>2B</t>
  </si>
  <si>
    <t>B</t>
  </si>
  <si>
    <t>V0</t>
  </si>
  <si>
    <t xml:space="preserve">Type crayon </t>
  </si>
  <si>
    <t>HB</t>
  </si>
  <si>
    <t>v</t>
  </si>
  <si>
    <t>ΔV/V0</t>
  </si>
  <si>
    <t>POS</t>
  </si>
  <si>
    <t>dcourbure</t>
  </si>
  <si>
    <t>ecourbure</t>
  </si>
  <si>
    <t>pos 121</t>
  </si>
  <si>
    <t>pos33</t>
  </si>
  <si>
    <t>pos20</t>
  </si>
  <si>
    <t>resitance</t>
  </si>
  <si>
    <t>tension</t>
  </si>
  <si>
    <t>pos 245</t>
  </si>
  <si>
    <t>pos 31</t>
  </si>
  <si>
    <t>pos 36</t>
  </si>
  <si>
    <t>Tension</t>
  </si>
  <si>
    <t>|ΔR|/ R0</t>
  </si>
  <si>
    <t>Test flexion</t>
  </si>
  <si>
    <t>Resistance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</si>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</sst>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2" xfId="0" applyFill="1" applyBorder="1"/>
    <xf numFmtId="0" fontId="0" fillId="0" borderId="2" xfId="0" applyBorder="1"/>
    <xf numFmtId="0" fontId="0" fillId="4" borderId="9" xfId="0" applyFill="1" applyBorder="1" applyAlignment="1">
      <alignment horizontal="center"/>
    </xf>
    <xf numFmtId="0" fontId="0" fillId="6" borderId="2" xfId="0" applyFill="1" applyBorder="1"/>
    <xf numFmtId="0" fontId="0" fillId="0" borderId="18" xfId="0" applyBorder="1"/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de la résistance en fonction de la déformation</a:t>
            </a:r>
          </a:p>
          <a:p>
            <a:pPr>
              <a:defRPr/>
            </a:pPr>
            <a:r>
              <a:rPr lang="en-US"/>
              <a:t>en compression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800468965037568"/>
          <c:y val="7.1003226702081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799478535679955E-2"/>
          <c:y val="0.20118772769594415"/>
          <c:w val="0.73567457699778405"/>
          <c:h val="0.68505749700307161"/>
        </c:manualLayout>
      </c:layout>
      <c:scatterChart>
        <c:scatterStyle val="lineMarker"/>
        <c:varyColors val="0"/>
        <c:ser>
          <c:idx val="0"/>
          <c:order val="0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740990896397004E-2"/>
                  <c:y val="-0.30466999911584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compression!$D$8:$D$14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compression!$S$8:$S$14</c:f>
              <c:numCache>
                <c:formatCode>General</c:formatCode>
                <c:ptCount val="7"/>
                <c:pt idx="1">
                  <c:v>-0.18451937875185573</c:v>
                </c:pt>
                <c:pt idx="2">
                  <c:v>-0.13815108247381758</c:v>
                </c:pt>
                <c:pt idx="3">
                  <c:v>-7.0351063495981955E-2</c:v>
                </c:pt>
                <c:pt idx="4">
                  <c:v>-3.0515376772414542E-2</c:v>
                </c:pt>
                <c:pt idx="5">
                  <c:v>1.0585246963262766E-2</c:v>
                </c:pt>
                <c:pt idx="6">
                  <c:v>3.4647403533431043E-2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7-1041-A569-3993C35D1FF5}"/>
            </c:ext>
          </c:extLst>
        </c:ser>
        <c:ser>
          <c:idx val="1"/>
          <c:order val="1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5137432808509015E-2"/>
                  <c:y val="-0.44829377491488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compression!$D$8:$D$14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compression!$J$8:$J$14</c:f>
              <c:numCache>
                <c:formatCode>General</c:formatCode>
                <c:ptCount val="7"/>
                <c:pt idx="1">
                  <c:v>-0.20484693286067968</c:v>
                </c:pt>
                <c:pt idx="2">
                  <c:v>-0.17719360165703582</c:v>
                </c:pt>
                <c:pt idx="3">
                  <c:v>-0.14346807913170498</c:v>
                </c:pt>
                <c:pt idx="4">
                  <c:v>-0.13881539456362404</c:v>
                </c:pt>
                <c:pt idx="5">
                  <c:v>-0.12701365148146526</c:v>
                </c:pt>
                <c:pt idx="6">
                  <c:v>-0.11008004369298464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C7-1041-A569-3993C35D1FF5}"/>
            </c:ext>
          </c:extLst>
        </c:ser>
        <c:ser>
          <c:idx val="2"/>
          <c:order val="2"/>
          <c:tx>
            <c:v>2B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8099770681474696E-2"/>
                  <c:y val="-0.220000589436025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compression!$D$8:$D$14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compression!$M$8:$M$14</c:f>
              <c:numCache>
                <c:formatCode>General</c:formatCode>
                <c:ptCount val="7"/>
                <c:pt idx="1">
                  <c:v>-0.16423621025618357</c:v>
                </c:pt>
                <c:pt idx="2">
                  <c:v>-7.6122707185158719E-2</c:v>
                </c:pt>
                <c:pt idx="3">
                  <c:v>0</c:v>
                </c:pt>
                <c:pt idx="4">
                  <c:v>4.9672826238893596E-2</c:v>
                </c:pt>
                <c:pt idx="5">
                  <c:v>9.902606518147182E-2</c:v>
                </c:pt>
                <c:pt idx="6">
                  <c:v>0.12001249675932509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C7-1041-A569-3993C35D1FF5}"/>
            </c:ext>
          </c:extLst>
        </c:ser>
        <c:ser>
          <c:idx val="3"/>
          <c:order val="3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740990896397004E-2"/>
                  <c:y val="-0.486558424001834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compression!$D$8:$D$14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compression!$P$8:$P$14</c:f>
              <c:numCache>
                <c:formatCode>General</c:formatCode>
                <c:ptCount val="7"/>
                <c:pt idx="1">
                  <c:v>-0.32017874072338209</c:v>
                </c:pt>
                <c:pt idx="2">
                  <c:v>-0.26244877782629228</c:v>
                </c:pt>
                <c:pt idx="3">
                  <c:v>-0.19996751981754116</c:v>
                </c:pt>
                <c:pt idx="4">
                  <c:v>-0.15828533128005395</c:v>
                </c:pt>
                <c:pt idx="5">
                  <c:v>-0.13738262438449697</c:v>
                </c:pt>
                <c:pt idx="6">
                  <c:v>-0.10410040935001884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C7-1041-A569-3993C35D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458495"/>
        <c:axId val="927458047"/>
      </c:scatterChart>
      <c:valAx>
        <c:axId val="92745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ε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(Deformation)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047"/>
        <c:crosses val="autoZero"/>
        <c:crossBetween val="midCat"/>
      </c:valAx>
      <c:valAx>
        <c:axId val="92745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ΔR/ R0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de la résistance en fonction de la déformation</a:t>
            </a:r>
          </a:p>
          <a:p>
            <a:pPr>
              <a:defRPr/>
            </a:pPr>
            <a:r>
              <a:rPr lang="en-US"/>
              <a:t>en flexion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7.6509029900187764E-2"/>
                  <c:y val="-2.23183122005800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flexion!$S$8:$S$14</c:f>
              <c:numCache>
                <c:formatCode>General</c:formatCode>
                <c:ptCount val="7"/>
                <c:pt idx="0">
                  <c:v>0</c:v>
                </c:pt>
                <c:pt idx="1">
                  <c:v>1.0251876715236143</c:v>
                </c:pt>
                <c:pt idx="2">
                  <c:v>0.9025064990351126</c:v>
                </c:pt>
                <c:pt idx="3">
                  <c:v>0.77934711533625067</c:v>
                </c:pt>
                <c:pt idx="4">
                  <c:v>0.72951721278190595</c:v>
                </c:pt>
                <c:pt idx="5">
                  <c:v>0.63225116271081228</c:v>
                </c:pt>
                <c:pt idx="6">
                  <c:v>0.564844483211695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B4-694F-BEAC-9619F863AF14}"/>
            </c:ext>
          </c:extLst>
        </c:ser>
        <c:ser>
          <c:idx val="1"/>
          <c:order val="1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7.7151873985993408E-2"/>
                  <c:y val="-1.7048840529290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flexion!$J$8:$J$14</c:f>
              <c:numCache>
                <c:formatCode>General</c:formatCode>
                <c:ptCount val="7"/>
                <c:pt idx="0">
                  <c:v>0</c:v>
                </c:pt>
                <c:pt idx="1">
                  <c:v>0.51038117584247167</c:v>
                </c:pt>
                <c:pt idx="2">
                  <c:v>0.43060014471475039</c:v>
                </c:pt>
                <c:pt idx="3">
                  <c:v>0.38706629481064148</c:v>
                </c:pt>
                <c:pt idx="4">
                  <c:v>0.3259734876957337</c:v>
                </c:pt>
                <c:pt idx="5">
                  <c:v>0.29153524085170951</c:v>
                </c:pt>
                <c:pt idx="6">
                  <c:v>0.25150510365369622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B4-694F-BEAC-9619F863AF14}"/>
            </c:ext>
          </c:extLst>
        </c:ser>
        <c:ser>
          <c:idx val="2"/>
          <c:order val="2"/>
          <c:tx>
            <c:v>2B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8.089205775795355E-2"/>
                  <c:y val="2.61114016557549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flexion!$M$8:$M$14</c:f>
              <c:numCache>
                <c:formatCode>General</c:formatCode>
                <c:ptCount val="7"/>
                <c:pt idx="0">
                  <c:v>0</c:v>
                </c:pt>
                <c:pt idx="1">
                  <c:v>0.41200550429395949</c:v>
                </c:pt>
                <c:pt idx="2">
                  <c:v>0.39966221300128302</c:v>
                </c:pt>
                <c:pt idx="3">
                  <c:v>0.36773792858793969</c:v>
                </c:pt>
                <c:pt idx="4">
                  <c:v>0.35612378559316732</c:v>
                </c:pt>
                <c:pt idx="5">
                  <c:v>0.32606012215561059</c:v>
                </c:pt>
                <c:pt idx="6">
                  <c:v>0.27984349685044135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B4-694F-BEAC-9619F863AF14}"/>
            </c:ext>
          </c:extLst>
        </c:ser>
        <c:ser>
          <c:idx val="3"/>
          <c:order val="3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7.5048020614265826E-2"/>
                  <c:y val="-1.20255845456796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flexion!$P$8:$P$14</c:f>
              <c:numCache>
                <c:formatCode>General</c:formatCode>
                <c:ptCount val="7"/>
                <c:pt idx="0">
                  <c:v>0</c:v>
                </c:pt>
                <c:pt idx="1">
                  <c:v>0.59721042935400703</c:v>
                </c:pt>
                <c:pt idx="2">
                  <c:v>0.58382955752173149</c:v>
                </c:pt>
                <c:pt idx="3">
                  <c:v>0.4285825132517353</c:v>
                </c:pt>
                <c:pt idx="4">
                  <c:v>0.38369232917953411</c:v>
                </c:pt>
                <c:pt idx="5">
                  <c:v>0.35805512633210146</c:v>
                </c:pt>
                <c:pt idx="6">
                  <c:v>0.29456152330110646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B4-694F-BEAC-9619F863A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458495"/>
        <c:axId val="927458047"/>
      </c:scatterChart>
      <c:valAx>
        <c:axId val="92745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ε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(Deformation)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047"/>
        <c:crosses val="autoZero"/>
        <c:crossBetween val="midCat"/>
      </c:valAx>
      <c:valAx>
        <c:axId val="92745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|ΔR|/ R0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de la résistance en fonction de la déformation</a:t>
            </a:r>
          </a:p>
          <a:p>
            <a:pPr>
              <a:defRPr/>
            </a:pPr>
            <a:r>
              <a:rPr lang="en-US"/>
              <a:t>en flexion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flexion!$S$8:$S$14</c:f>
              <c:numCache>
                <c:formatCode>General</c:formatCode>
                <c:ptCount val="7"/>
                <c:pt idx="0">
                  <c:v>0</c:v>
                </c:pt>
                <c:pt idx="1">
                  <c:v>1.0251876715236143</c:v>
                </c:pt>
                <c:pt idx="2">
                  <c:v>0.9025064990351126</c:v>
                </c:pt>
                <c:pt idx="3">
                  <c:v>0.77934711533625067</c:v>
                </c:pt>
                <c:pt idx="4">
                  <c:v>0.72951721278190595</c:v>
                </c:pt>
                <c:pt idx="5">
                  <c:v>0.63225116271081228</c:v>
                </c:pt>
                <c:pt idx="6">
                  <c:v>0.564844483211695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5-7B44-8630-B55CBCC8FBD0}"/>
            </c:ext>
          </c:extLst>
        </c:ser>
        <c:ser>
          <c:idx val="1"/>
          <c:order val="1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flexion!$J$8:$J$14</c:f>
              <c:numCache>
                <c:formatCode>General</c:formatCode>
                <c:ptCount val="7"/>
                <c:pt idx="0">
                  <c:v>0</c:v>
                </c:pt>
                <c:pt idx="1">
                  <c:v>0.51038117584247167</c:v>
                </c:pt>
                <c:pt idx="2">
                  <c:v>0.43060014471475039</c:v>
                </c:pt>
                <c:pt idx="3">
                  <c:v>0.38706629481064148</c:v>
                </c:pt>
                <c:pt idx="4">
                  <c:v>0.3259734876957337</c:v>
                </c:pt>
                <c:pt idx="5">
                  <c:v>0.29153524085170951</c:v>
                </c:pt>
                <c:pt idx="6">
                  <c:v>0.25150510365369622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55-7B44-8630-B55CBCC8FBD0}"/>
            </c:ext>
          </c:extLst>
        </c:ser>
        <c:ser>
          <c:idx val="2"/>
          <c:order val="2"/>
          <c:tx>
            <c:v>2B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flexion!$M$8:$M$14</c:f>
              <c:numCache>
                <c:formatCode>General</c:formatCode>
                <c:ptCount val="7"/>
                <c:pt idx="0">
                  <c:v>0</c:v>
                </c:pt>
                <c:pt idx="1">
                  <c:v>0.41200550429395949</c:v>
                </c:pt>
                <c:pt idx="2">
                  <c:v>0.39966221300128302</c:v>
                </c:pt>
                <c:pt idx="3">
                  <c:v>0.36773792858793969</c:v>
                </c:pt>
                <c:pt idx="4">
                  <c:v>0.35612378559316732</c:v>
                </c:pt>
                <c:pt idx="5">
                  <c:v>0.32606012215561059</c:v>
                </c:pt>
                <c:pt idx="6">
                  <c:v>0.27984349685044135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55-7B44-8630-B55CBCC8FBD0}"/>
            </c:ext>
          </c:extLst>
        </c:ser>
        <c:ser>
          <c:idx val="3"/>
          <c:order val="3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flexion!$D$8:$D$14</c:f>
              <c:numCache>
                <c:formatCode>General</c:formatCode>
                <c:ptCount val="7"/>
                <c:pt idx="0">
                  <c:v>0</c:v>
                </c:pt>
                <c:pt idx="1">
                  <c:v>1.3333333333333334E-2</c:v>
                </c:pt>
                <c:pt idx="2">
                  <c:v>0.01</c:v>
                </c:pt>
                <c:pt idx="3">
                  <c:v>8.0000000000000002E-3</c:v>
                </c:pt>
                <c:pt idx="4">
                  <c:v>6.6666666666666671E-3</c:v>
                </c:pt>
                <c:pt idx="5">
                  <c:v>5.7142857142857143E-3</c:v>
                </c:pt>
                <c:pt idx="6">
                  <c:v>5.0000000000000001E-3</c:v>
                </c:pt>
              </c:numCache>
            </c:numRef>
          </c:xVal>
          <c:yVal>
            <c:numRef>
              <c:f>flexion!$P$8:$P$14</c:f>
              <c:numCache>
                <c:formatCode>General</c:formatCode>
                <c:ptCount val="7"/>
                <c:pt idx="0">
                  <c:v>0</c:v>
                </c:pt>
                <c:pt idx="1">
                  <c:v>0.59721042935400703</c:v>
                </c:pt>
                <c:pt idx="2">
                  <c:v>0.58382955752173149</c:v>
                </c:pt>
                <c:pt idx="3">
                  <c:v>0.4285825132517353</c:v>
                </c:pt>
                <c:pt idx="4">
                  <c:v>0.38369232917953411</c:v>
                </c:pt>
                <c:pt idx="5">
                  <c:v>0.35805512633210146</c:v>
                </c:pt>
                <c:pt idx="6">
                  <c:v>0.29456152330110646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55-7B44-8630-B55CBCC8F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458495"/>
        <c:axId val="927458047"/>
      </c:scatterChart>
      <c:valAx>
        <c:axId val="92745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 </a:t>
                </a:r>
                <a:r>
                  <a:rPr lang="en-US"/>
                  <a:t> (Deformation)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047"/>
        <c:crosses val="autoZero"/>
        <c:crossBetween val="midCat"/>
      </c:valAx>
      <c:valAx>
        <c:axId val="92745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|ΔR|/ R0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de la résistance en fonction de la déformation</a:t>
            </a:r>
          </a:p>
          <a:p>
            <a:pPr>
              <a:defRPr/>
            </a:pPr>
            <a:r>
              <a:rPr lang="en-US"/>
              <a:t>en flexion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8962959854951"/>
          <c:y val="4.9220339786768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flex sensor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'Flex sensor'!$D$9:$D$14</c:f>
              <c:numCache>
                <c:formatCode>General</c:formatCode>
                <c:ptCount val="6"/>
                <c:pt idx="0">
                  <c:v>1.3333333333333334E-2</c:v>
                </c:pt>
                <c:pt idx="1">
                  <c:v>0.01</c:v>
                </c:pt>
                <c:pt idx="2">
                  <c:v>8.0000000000000002E-3</c:v>
                </c:pt>
                <c:pt idx="3">
                  <c:v>6.6666666666666671E-3</c:v>
                </c:pt>
                <c:pt idx="4">
                  <c:v>5.7142857142857143E-3</c:v>
                </c:pt>
                <c:pt idx="5">
                  <c:v>5.0000000000000001E-3</c:v>
                </c:pt>
              </c:numCache>
            </c:numRef>
          </c:xVal>
          <c:yVal>
            <c:numRef>
              <c:f>'Flex sensor'!$J$9:$J$14</c:f>
              <c:numCache>
                <c:formatCode>General</c:formatCode>
                <c:ptCount val="6"/>
                <c:pt idx="0">
                  <c:v>3.2079726578720416</c:v>
                </c:pt>
                <c:pt idx="1">
                  <c:v>2.6351614654869517</c:v>
                </c:pt>
                <c:pt idx="2">
                  <c:v>2.5673491551410228</c:v>
                </c:pt>
                <c:pt idx="3">
                  <c:v>1.8493947040597949</c:v>
                </c:pt>
                <c:pt idx="4">
                  <c:v>1.3966844475676365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98-CA4F-83D0-21B279A9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458495"/>
        <c:axId val="927458047"/>
      </c:scatterChart>
      <c:valAx>
        <c:axId val="92745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ε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(Deformation)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047"/>
        <c:crosses val="autoZero"/>
        <c:crossBetween val="midCat"/>
      </c:valAx>
      <c:valAx>
        <c:axId val="92745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|ΔR|/ R0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7458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778471</xdr:colOff>
      <xdr:row>29</xdr:row>
      <xdr:rowOff>60269</xdr:rowOff>
    </xdr:from>
    <xdr:to>
      <xdr:col>20</xdr:col>
      <xdr:colOff>268134</xdr:colOff>
      <xdr:row>48</xdr:row>
      <xdr:rowOff>94136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27A898B-6879-8552-39E4-0A0FE28B2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</xdr:colOff>
      <xdr:row>33</xdr:row>
      <xdr:rowOff>108446</xdr:rowOff>
    </xdr:from>
    <xdr:to>
      <xdr:col>11</xdr:col>
      <xdr:colOff>747183</xdr:colOff>
      <xdr:row>55</xdr:row>
      <xdr:rowOff>24444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92FD6E-84DC-CE4A-AFF7-9652783E0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25</xdr:col>
      <xdr:colOff>457941</xdr:colOff>
      <xdr:row>55</xdr:row>
      <xdr:rowOff>119198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2E68432-BA6E-CA4F-A870-6B4295C17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320990</xdr:colOff>
      <xdr:row>28</xdr:row>
      <xdr:rowOff>167473</xdr:rowOff>
    </xdr:from>
    <xdr:to>
      <xdr:col>13</xdr:col>
      <xdr:colOff>177797</xdr:colOff>
      <xdr:row>49</xdr:row>
      <xdr:rowOff>157718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0CA745A-78DC-844C-A661-2E66DD0BF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CF46-CDDB-9D43-ADA3-49B6D7768B90}">
  <dimension ref="A4:S28"/>
  <sheetViews>
    <sheetView topLeftCell="B1" zoomScale="66" zoomScaleNormal="131" workbookViewId="0">
      <selection activeCell="E38" sqref="A1:XFD1048576"/>
    </sheetView>
  </sheetViews>
  <sheetFormatPr baseColWidth="10" defaultRowHeight="16" x14ac:dyDescent="0.2"/>
  <cols>
    <col min="6" max="6" width="19.33203125" customWidth="1"/>
    <col min="7" max="7" width="10.83203125" customWidth="1"/>
  </cols>
  <sheetData>
    <row r="4" spans="1:19" x14ac:dyDescent="0.2">
      <c r="F4" t="s">
        <v>5</v>
      </c>
    </row>
    <row r="5" spans="1:19" ht="17" thickBot="1" x14ac:dyDescent="0.25"/>
    <row r="6" spans="1:19" ht="17" thickBot="1" x14ac:dyDescent="0.25">
      <c r="A6" t="s">
        <v>2</v>
      </c>
      <c r="B6" t="s">
        <v>3</v>
      </c>
      <c r="E6" t="s">
        <v>6</v>
      </c>
      <c r="G6" t="s">
        <v>11</v>
      </c>
      <c r="H6" s="24" t="s">
        <v>7</v>
      </c>
      <c r="I6" s="24"/>
      <c r="J6" s="24"/>
      <c r="K6" s="24" t="s">
        <v>8</v>
      </c>
      <c r="L6" s="24"/>
      <c r="M6" s="24"/>
      <c r="N6" s="24" t="s">
        <v>9</v>
      </c>
      <c r="O6" s="24"/>
      <c r="P6" s="24"/>
      <c r="Q6" s="24" t="s">
        <v>12</v>
      </c>
      <c r="R6" s="24"/>
      <c r="S6" s="24"/>
    </row>
    <row r="7" spans="1:19" ht="17" thickBot="1" x14ac:dyDescent="0.25">
      <c r="A7">
        <v>0.2</v>
      </c>
      <c r="B7" s="8" t="s">
        <v>16</v>
      </c>
      <c r="C7" s="8" t="s">
        <v>17</v>
      </c>
      <c r="D7" s="8" t="s">
        <v>4</v>
      </c>
      <c r="H7" s="10" t="s">
        <v>0</v>
      </c>
      <c r="I7" s="10" t="s">
        <v>1</v>
      </c>
      <c r="J7" s="10" t="s">
        <v>27</v>
      </c>
      <c r="K7" s="10" t="s">
        <v>0</v>
      </c>
      <c r="L7" s="10" t="s">
        <v>1</v>
      </c>
      <c r="M7" s="10" t="s">
        <v>27</v>
      </c>
      <c r="N7" s="10" t="s">
        <v>0</v>
      </c>
      <c r="O7" s="10" t="s">
        <v>1</v>
      </c>
      <c r="P7" s="10" t="s">
        <v>27</v>
      </c>
      <c r="Q7" s="10" t="s">
        <v>0</v>
      </c>
      <c r="R7" s="10" t="s">
        <v>1</v>
      </c>
      <c r="S7" s="10" t="s">
        <v>27</v>
      </c>
    </row>
    <row r="8" spans="1:19" ht="17" thickBot="1" x14ac:dyDescent="0.25">
      <c r="B8" s="11"/>
      <c r="C8" s="11"/>
      <c r="D8" s="11">
        <v>0</v>
      </c>
      <c r="H8" s="13">
        <v>388163</v>
      </c>
      <c r="I8" s="14"/>
      <c r="J8" s="15"/>
      <c r="K8" s="13"/>
      <c r="L8" s="14"/>
      <c r="M8" s="15"/>
      <c r="N8" s="13"/>
      <c r="O8" s="14"/>
      <c r="P8" s="15"/>
      <c r="Q8" s="13"/>
      <c r="R8" s="14"/>
      <c r="S8" s="15"/>
    </row>
    <row r="9" spans="1:19" x14ac:dyDescent="0.2">
      <c r="B9" s="9">
        <v>15</v>
      </c>
      <c r="C9" s="9">
        <f>B9/2</f>
        <v>7.5</v>
      </c>
      <c r="D9" s="9">
        <f>A$7/(2*C9)</f>
        <v>1.3333333333333334E-2</v>
      </c>
      <c r="G9" s="21" t="s">
        <v>21</v>
      </c>
      <c r="H9" s="2">
        <v>388163</v>
      </c>
      <c r="I9" s="12">
        <v>308649</v>
      </c>
      <c r="J9" s="3">
        <f>(I9-H$8)/H$8</f>
        <v>-0.20484693286067968</v>
      </c>
      <c r="K9" s="2">
        <v>1674034</v>
      </c>
      <c r="L9" s="12">
        <v>1399097</v>
      </c>
      <c r="M9" s="3">
        <f>(L9-K$9)/K$9</f>
        <v>-0.16423621025618357</v>
      </c>
      <c r="N9" s="2">
        <v>2807866</v>
      </c>
      <c r="O9" s="12">
        <v>1908847</v>
      </c>
      <c r="P9" s="3">
        <f>(O9-N$9)/N$9</f>
        <v>-0.32017874072338209</v>
      </c>
      <c r="Q9" s="2">
        <v>2645191</v>
      </c>
      <c r="R9" s="12">
        <v>2157102</v>
      </c>
      <c r="S9" s="3">
        <f>(R9-Q$9)/Q$9</f>
        <v>-0.18451937875185573</v>
      </c>
    </row>
    <row r="10" spans="1:19" x14ac:dyDescent="0.2">
      <c r="B10" s="9">
        <v>20</v>
      </c>
      <c r="C10" s="9">
        <f t="shared" ref="C10:C14" si="0">B10/2</f>
        <v>10</v>
      </c>
      <c r="D10" s="9">
        <f t="shared" ref="D10:D14" si="1">A$7/(2*C10)</f>
        <v>0.01</v>
      </c>
      <c r="G10" s="22"/>
      <c r="H10" s="4"/>
      <c r="I10">
        <v>319383</v>
      </c>
      <c r="J10" s="3">
        <f t="shared" ref="J10:J13" si="2">(I10-H$8)/H$8</f>
        <v>-0.17719360165703582</v>
      </c>
      <c r="K10" s="4"/>
      <c r="L10">
        <v>1546602</v>
      </c>
      <c r="M10" s="3">
        <f t="shared" ref="M10:M14" si="3">(L10-K$9)/K$9</f>
        <v>-7.6122707185158719E-2</v>
      </c>
      <c r="N10" s="4"/>
      <c r="O10">
        <v>2070945</v>
      </c>
      <c r="P10" s="3">
        <f t="shared" ref="P10:P14" si="4">(O10-N$9)/N$9</f>
        <v>-0.26244877782629228</v>
      </c>
      <c r="Q10" s="4"/>
      <c r="R10">
        <v>2279755</v>
      </c>
      <c r="S10" s="3">
        <f t="shared" ref="S10:S14" si="5">(R10-Q$9)/Q$9</f>
        <v>-0.13815108247381758</v>
      </c>
    </row>
    <row r="11" spans="1:19" x14ac:dyDescent="0.2">
      <c r="B11" s="9">
        <v>25</v>
      </c>
      <c r="C11" s="9">
        <f t="shared" si="0"/>
        <v>12.5</v>
      </c>
      <c r="D11" s="9">
        <f t="shared" si="1"/>
        <v>8.0000000000000002E-3</v>
      </c>
      <c r="G11" s="22"/>
      <c r="H11" s="4"/>
      <c r="I11">
        <v>332474</v>
      </c>
      <c r="J11" s="3">
        <f t="shared" si="2"/>
        <v>-0.14346807913170498</v>
      </c>
      <c r="K11" s="4"/>
      <c r="L11">
        <v>1674034</v>
      </c>
      <c r="M11" s="3">
        <f t="shared" si="3"/>
        <v>0</v>
      </c>
      <c r="N11" s="4"/>
      <c r="O11">
        <v>2246384</v>
      </c>
      <c r="P11" s="3">
        <f t="shared" si="4"/>
        <v>-0.19996751981754116</v>
      </c>
      <c r="Q11" s="4"/>
      <c r="R11">
        <v>2459099</v>
      </c>
      <c r="S11" s="3">
        <f t="shared" si="5"/>
        <v>-7.0351063495981955E-2</v>
      </c>
    </row>
    <row r="12" spans="1:19" x14ac:dyDescent="0.2">
      <c r="B12" s="9">
        <v>30</v>
      </c>
      <c r="C12" s="9">
        <f t="shared" si="0"/>
        <v>15</v>
      </c>
      <c r="D12" s="9">
        <f t="shared" si="1"/>
        <v>6.6666666666666671E-3</v>
      </c>
      <c r="G12" s="22"/>
      <c r="H12" s="4"/>
      <c r="I12">
        <v>334280</v>
      </c>
      <c r="J12" s="3">
        <f t="shared" si="2"/>
        <v>-0.13881539456362404</v>
      </c>
      <c r="K12" s="4"/>
      <c r="L12">
        <v>1757188</v>
      </c>
      <c r="M12" s="3">
        <f t="shared" si="3"/>
        <v>4.9672826238893596E-2</v>
      </c>
      <c r="N12" s="4"/>
      <c r="O12">
        <v>2363422</v>
      </c>
      <c r="P12" s="3">
        <f t="shared" si="4"/>
        <v>-0.15828533128005395</v>
      </c>
      <c r="Q12" s="4"/>
      <c r="R12">
        <v>2564472</v>
      </c>
      <c r="S12" s="3">
        <f t="shared" si="5"/>
        <v>-3.0515376772414542E-2</v>
      </c>
    </row>
    <row r="13" spans="1:19" x14ac:dyDescent="0.2">
      <c r="B13" s="9">
        <v>35</v>
      </c>
      <c r="C13" s="9">
        <f t="shared" si="0"/>
        <v>17.5</v>
      </c>
      <c r="D13" s="9">
        <f t="shared" si="1"/>
        <v>5.7142857142857143E-3</v>
      </c>
      <c r="G13" s="22"/>
      <c r="H13" s="4"/>
      <c r="I13">
        <v>338861</v>
      </c>
      <c r="J13" s="3">
        <f t="shared" si="2"/>
        <v>-0.12701365148146526</v>
      </c>
      <c r="K13" s="4"/>
      <c r="L13">
        <v>1839807</v>
      </c>
      <c r="M13" s="3">
        <f t="shared" si="3"/>
        <v>9.902606518147182E-2</v>
      </c>
      <c r="N13" s="4"/>
      <c r="O13">
        <v>2422114</v>
      </c>
      <c r="P13" s="3">
        <f t="shared" si="4"/>
        <v>-0.13738262438449697</v>
      </c>
      <c r="Q13" s="4"/>
      <c r="R13">
        <v>2673191</v>
      </c>
      <c r="S13" s="3">
        <f t="shared" si="5"/>
        <v>1.0585246963262766E-2</v>
      </c>
    </row>
    <row r="14" spans="1:19" ht="17" thickBot="1" x14ac:dyDescent="0.25">
      <c r="B14" s="9">
        <v>40</v>
      </c>
      <c r="C14" s="9">
        <f t="shared" si="0"/>
        <v>20</v>
      </c>
      <c r="D14" s="9">
        <f t="shared" si="1"/>
        <v>5.0000000000000001E-3</v>
      </c>
      <c r="G14" s="23"/>
      <c r="H14" s="6"/>
      <c r="I14" s="1">
        <v>345434</v>
      </c>
      <c r="J14" s="3">
        <f>(I14-H$8)/H$8</f>
        <v>-0.11008004369298464</v>
      </c>
      <c r="K14" s="6">
        <v>2115539</v>
      </c>
      <c r="L14" s="1">
        <v>1874939</v>
      </c>
      <c r="M14" s="3">
        <f t="shared" si="3"/>
        <v>0.12001249675932509</v>
      </c>
      <c r="N14" s="6"/>
      <c r="O14" s="1">
        <v>2515566</v>
      </c>
      <c r="P14" s="3">
        <f t="shared" si="4"/>
        <v>-0.10410040935001884</v>
      </c>
      <c r="Q14" s="6"/>
      <c r="R14" s="1">
        <v>2736840</v>
      </c>
      <c r="S14" s="3">
        <f t="shared" si="5"/>
        <v>3.4647403533431043E-2</v>
      </c>
    </row>
    <row r="15" spans="1:19" x14ac:dyDescent="0.2">
      <c r="B15" s="9"/>
      <c r="C15" s="9"/>
      <c r="D15" s="9"/>
    </row>
    <row r="16" spans="1:19" ht="17" thickBot="1" x14ac:dyDescent="0.25">
      <c r="B16" s="9"/>
      <c r="C16" s="9"/>
      <c r="D16" s="9"/>
    </row>
    <row r="17" spans="7:19" ht="17" thickBot="1" x14ac:dyDescent="0.25">
      <c r="H17" s="24" t="s">
        <v>7</v>
      </c>
      <c r="I17" s="24"/>
      <c r="J17" s="24"/>
      <c r="K17" s="24" t="s">
        <v>8</v>
      </c>
      <c r="L17" s="24"/>
      <c r="M17" s="24"/>
      <c r="N17" s="24" t="s">
        <v>9</v>
      </c>
      <c r="O17" s="24"/>
      <c r="P17" s="24"/>
      <c r="Q17" s="24" t="s">
        <v>12</v>
      </c>
      <c r="R17" s="24"/>
      <c r="S17" s="24"/>
    </row>
    <row r="18" spans="7:19" ht="17" thickBot="1" x14ac:dyDescent="0.25">
      <c r="H18" s="10" t="s">
        <v>10</v>
      </c>
      <c r="I18" s="10" t="s">
        <v>13</v>
      </c>
      <c r="J18" s="10" t="s">
        <v>14</v>
      </c>
      <c r="K18" s="10" t="s">
        <v>10</v>
      </c>
      <c r="L18" s="10" t="s">
        <v>13</v>
      </c>
      <c r="M18" s="10" t="s">
        <v>14</v>
      </c>
      <c r="N18" s="10" t="s">
        <v>10</v>
      </c>
      <c r="O18" s="10" t="s">
        <v>13</v>
      </c>
      <c r="P18" s="10" t="s">
        <v>14</v>
      </c>
      <c r="Q18" s="10" t="s">
        <v>10</v>
      </c>
      <c r="R18" s="10" t="s">
        <v>13</v>
      </c>
      <c r="S18" s="10" t="s">
        <v>14</v>
      </c>
    </row>
    <row r="19" spans="7:19" ht="17" thickBot="1" x14ac:dyDescent="0.25">
      <c r="H19" s="13"/>
      <c r="I19" s="14"/>
      <c r="J19" s="15">
        <v>0</v>
      </c>
      <c r="K19" s="13"/>
      <c r="L19" s="14"/>
      <c r="M19" s="15"/>
      <c r="N19" s="13"/>
      <c r="O19" s="14"/>
      <c r="P19" s="15">
        <v>0</v>
      </c>
      <c r="Q19" s="13"/>
      <c r="R19" s="14"/>
      <c r="S19" s="15">
        <v>0</v>
      </c>
    </row>
    <row r="20" spans="7:19" x14ac:dyDescent="0.2">
      <c r="G20" s="25" t="s">
        <v>22</v>
      </c>
      <c r="H20" s="2">
        <v>2.14</v>
      </c>
      <c r="I20" s="12">
        <v>2.54</v>
      </c>
      <c r="J20" s="3">
        <f>ABS(I20-H$20)/H$20</f>
        <v>0.18691588785046723</v>
      </c>
      <c r="K20" s="2">
        <v>2.41</v>
      </c>
      <c r="L20" s="12">
        <v>2.86</v>
      </c>
      <c r="M20" s="3">
        <f>(L20-K$20)/K$20</f>
        <v>0.18672199170124471</v>
      </c>
      <c r="N20" s="2">
        <v>2.5</v>
      </c>
      <c r="O20" s="12">
        <v>3.61</v>
      </c>
      <c r="P20" s="3">
        <f>(O20-N$20)/N$20</f>
        <v>0.44399999999999995</v>
      </c>
      <c r="Q20" s="2">
        <v>2.4300000000000002</v>
      </c>
      <c r="R20" s="12">
        <v>2.95</v>
      </c>
      <c r="S20" s="3">
        <f>(R20-Q$20)/Q$20</f>
        <v>0.2139917695473251</v>
      </c>
    </row>
    <row r="21" spans="7:19" x14ac:dyDescent="0.2">
      <c r="G21" s="26"/>
      <c r="H21" s="4"/>
      <c r="I21">
        <v>2.4700000000000002</v>
      </c>
      <c r="J21" s="5">
        <f t="shared" ref="J21:J25" si="6">ABS(I21-H$20)/H$20</f>
        <v>0.15420560747663553</v>
      </c>
      <c r="K21" s="4"/>
      <c r="L21">
        <v>2.6</v>
      </c>
      <c r="M21" s="5">
        <f t="shared" ref="M21:M25" si="7">(L21-K$20)/K$20</f>
        <v>7.8838174273858891E-2</v>
      </c>
      <c r="N21" s="4"/>
      <c r="O21">
        <v>3.35</v>
      </c>
      <c r="P21" s="5">
        <f t="shared" ref="P21:P25" si="8">(O21-N$20)/N$20</f>
        <v>0.34</v>
      </c>
      <c r="Q21" s="4"/>
      <c r="R21">
        <v>2.8</v>
      </c>
      <c r="S21" s="5">
        <f t="shared" ref="S21:S25" si="9">(R21-Q$20)/Q$20</f>
        <v>0.15226337448559657</v>
      </c>
    </row>
    <row r="22" spans="7:19" x14ac:dyDescent="0.2">
      <c r="G22" s="26"/>
      <c r="H22" s="4"/>
      <c r="I22">
        <v>2.4</v>
      </c>
      <c r="J22" s="5">
        <f t="shared" si="6"/>
        <v>0.12149532710280363</v>
      </c>
      <c r="K22" s="4"/>
      <c r="L22">
        <v>2.41</v>
      </c>
      <c r="M22" s="5">
        <f t="shared" si="7"/>
        <v>0</v>
      </c>
      <c r="N22" s="4"/>
      <c r="O22">
        <v>3.09</v>
      </c>
      <c r="P22" s="5">
        <f t="shared" si="8"/>
        <v>0.23599999999999993</v>
      </c>
      <c r="Q22" s="4"/>
      <c r="R22">
        <v>2.61</v>
      </c>
      <c r="S22" s="5">
        <f t="shared" si="9"/>
        <v>7.4074074074073959E-2</v>
      </c>
    </row>
    <row r="23" spans="7:19" x14ac:dyDescent="0.2">
      <c r="G23" s="26"/>
      <c r="H23" s="4"/>
      <c r="I23">
        <v>2.39</v>
      </c>
      <c r="J23" s="5">
        <f t="shared" si="6"/>
        <v>0.11682242990654206</v>
      </c>
      <c r="K23" s="4"/>
      <c r="L23">
        <v>2.31</v>
      </c>
      <c r="M23" s="5">
        <f t="shared" si="7"/>
        <v>-4.1493775933609992E-2</v>
      </c>
      <c r="N23" s="4"/>
      <c r="O23">
        <v>2.95</v>
      </c>
      <c r="P23" s="5">
        <f t="shared" si="8"/>
        <v>0.18000000000000008</v>
      </c>
      <c r="Q23" s="4"/>
      <c r="R23">
        <v>2.5</v>
      </c>
      <c r="S23" s="5">
        <f t="shared" si="9"/>
        <v>2.8806584362139849E-2</v>
      </c>
    </row>
    <row r="24" spans="7:19" x14ac:dyDescent="0.2">
      <c r="G24" s="26"/>
      <c r="H24" s="4"/>
      <c r="I24">
        <v>2.36</v>
      </c>
      <c r="J24" s="5">
        <f t="shared" si="6"/>
        <v>0.10280373831775688</v>
      </c>
      <c r="K24" s="4"/>
      <c r="L24">
        <v>2.21</v>
      </c>
      <c r="M24" s="5">
        <f t="shared" si="7"/>
        <v>-8.2987551867219983E-2</v>
      </c>
      <c r="N24" s="4"/>
      <c r="O24">
        <v>2.89</v>
      </c>
      <c r="P24" s="5">
        <f t="shared" si="8"/>
        <v>0.15600000000000006</v>
      </c>
      <c r="Q24" s="4"/>
      <c r="R24">
        <v>2.41</v>
      </c>
      <c r="S24" s="5">
        <f t="shared" si="9"/>
        <v>-8.2304526748971252E-3</v>
      </c>
    </row>
    <row r="25" spans="7:19" ht="17" thickBot="1" x14ac:dyDescent="0.25">
      <c r="G25" s="27"/>
      <c r="H25" s="6"/>
      <c r="I25" s="1">
        <v>2.34</v>
      </c>
      <c r="J25" s="7">
        <f t="shared" si="6"/>
        <v>9.3457943925233516E-2</v>
      </c>
      <c r="K25" s="6">
        <v>1.93</v>
      </c>
      <c r="L25" s="1">
        <v>2.17</v>
      </c>
      <c r="M25" s="7">
        <f t="shared" si="7"/>
        <v>-9.9585062240663977E-2</v>
      </c>
      <c r="N25" s="6"/>
      <c r="O25" s="1">
        <v>2.78</v>
      </c>
      <c r="P25" s="7">
        <f t="shared" si="8"/>
        <v>0.11199999999999992</v>
      </c>
      <c r="Q25" s="6"/>
      <c r="R25" s="1">
        <v>2.35</v>
      </c>
      <c r="S25" s="7">
        <f t="shared" si="9"/>
        <v>-3.2921810699588501E-2</v>
      </c>
    </row>
    <row r="26" spans="7:19" x14ac:dyDescent="0.2">
      <c r="J26" t="s">
        <v>23</v>
      </c>
    </row>
    <row r="27" spans="7:19" x14ac:dyDescent="0.2">
      <c r="M27" t="s">
        <v>25</v>
      </c>
      <c r="P27" t="s">
        <v>20</v>
      </c>
      <c r="S27" t="s">
        <v>15</v>
      </c>
    </row>
    <row r="28" spans="7:19" x14ac:dyDescent="0.2">
      <c r="S28">
        <v>22</v>
      </c>
    </row>
  </sheetData>
  <mergeCells count="10">
    <mergeCell ref="Q17:S17"/>
    <mergeCell ref="G20:G25"/>
    <mergeCell ref="K6:M6"/>
    <mergeCell ref="N6:P6"/>
    <mergeCell ref="Q6:S6"/>
    <mergeCell ref="H17:J17"/>
    <mergeCell ref="K17:M17"/>
    <mergeCell ref="N17:P17"/>
    <mergeCell ref="G9:G14"/>
    <mergeCell ref="H6:J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D9B4-D20A-7945-B359-4F045FB953F1}">
  <dimension ref="A4:S28"/>
  <sheetViews>
    <sheetView topLeftCell="A2" zoomScale="75" zoomScaleNormal="87" workbookViewId="0">
      <selection activeCell="I33" sqref="I33"/>
    </sheetView>
  </sheetViews>
  <sheetFormatPr baseColWidth="10" defaultRowHeight="16" x14ac:dyDescent="0.2"/>
  <cols>
    <col min="6" max="6" width="19.33203125" customWidth="1"/>
  </cols>
  <sheetData>
    <row r="4" spans="1:19" x14ac:dyDescent="0.2">
      <c r="F4" t="s">
        <v>28</v>
      </c>
    </row>
    <row r="5" spans="1:19" ht="17" thickBot="1" x14ac:dyDescent="0.25"/>
    <row r="6" spans="1:19" ht="17" thickBot="1" x14ac:dyDescent="0.25">
      <c r="A6" t="s">
        <v>2</v>
      </c>
      <c r="B6" t="s">
        <v>3</v>
      </c>
      <c r="E6" t="s">
        <v>6</v>
      </c>
      <c r="G6" t="s">
        <v>11</v>
      </c>
      <c r="H6" s="24" t="s">
        <v>7</v>
      </c>
      <c r="I6" s="24"/>
      <c r="J6" s="24"/>
      <c r="K6" s="24" t="s">
        <v>8</v>
      </c>
      <c r="L6" s="24"/>
      <c r="M6" s="24"/>
      <c r="N6" s="24" t="s">
        <v>9</v>
      </c>
      <c r="O6" s="24"/>
      <c r="P6" s="24"/>
      <c r="Q6" s="24" t="s">
        <v>12</v>
      </c>
      <c r="R6" s="24"/>
      <c r="S6" s="24"/>
    </row>
    <row r="7" spans="1:19" ht="17" thickBot="1" x14ac:dyDescent="0.25">
      <c r="A7">
        <v>0.2</v>
      </c>
      <c r="B7" s="8" t="s">
        <v>16</v>
      </c>
      <c r="C7" s="8" t="s">
        <v>17</v>
      </c>
      <c r="D7" s="8" t="s">
        <v>4</v>
      </c>
      <c r="H7" s="17" t="s">
        <v>0</v>
      </c>
      <c r="I7" s="17" t="s">
        <v>1</v>
      </c>
      <c r="J7" s="17" t="s">
        <v>27</v>
      </c>
      <c r="K7" s="10" t="s">
        <v>0</v>
      </c>
      <c r="L7" s="10" t="s">
        <v>1</v>
      </c>
      <c r="M7" s="10" t="s">
        <v>27</v>
      </c>
      <c r="N7" s="10" t="s">
        <v>0</v>
      </c>
      <c r="O7" s="10" t="s">
        <v>1</v>
      </c>
      <c r="P7" s="10" t="s">
        <v>27</v>
      </c>
      <c r="Q7" s="10" t="s">
        <v>0</v>
      </c>
      <c r="R7" s="10" t="s">
        <v>1</v>
      </c>
      <c r="S7" s="10" t="s">
        <v>27</v>
      </c>
    </row>
    <row r="8" spans="1:19" ht="17" thickBot="1" x14ac:dyDescent="0.25">
      <c r="B8" s="11"/>
      <c r="C8" s="11"/>
      <c r="D8" s="11">
        <v>0</v>
      </c>
      <c r="H8" s="18"/>
      <c r="I8" s="19"/>
      <c r="J8" s="20">
        <v>0</v>
      </c>
      <c r="K8" s="14"/>
      <c r="L8" s="14"/>
      <c r="M8" s="15">
        <v>0</v>
      </c>
      <c r="N8" s="13"/>
      <c r="O8" s="14"/>
      <c r="P8" s="15">
        <v>0</v>
      </c>
      <c r="Q8" s="13"/>
      <c r="R8" s="14"/>
      <c r="S8" s="15">
        <v>0</v>
      </c>
    </row>
    <row r="9" spans="1:19" x14ac:dyDescent="0.2">
      <c r="B9" s="9">
        <v>15</v>
      </c>
      <c r="C9" s="9">
        <f>B9/2</f>
        <v>7.5</v>
      </c>
      <c r="D9" s="9">
        <f>A$7/(2*C9)</f>
        <v>1.3333333333333334E-2</v>
      </c>
      <c r="G9" s="21" t="s">
        <v>29</v>
      </c>
      <c r="H9" s="2"/>
      <c r="I9" s="12">
        <v>860005</v>
      </c>
      <c r="J9" s="3">
        <f>(I9-H$10)/H$10</f>
        <v>0.51038117584247167</v>
      </c>
      <c r="K9" s="2">
        <v>1933763</v>
      </c>
      <c r="L9" s="12">
        <v>2730484</v>
      </c>
      <c r="M9" s="3">
        <f>(L9-K$9)/K$9</f>
        <v>0.41200550429395949</v>
      </c>
      <c r="N9" s="2">
        <v>1804292</v>
      </c>
      <c r="O9" s="12">
        <v>2881834</v>
      </c>
      <c r="P9" s="3">
        <f>(O9-N$9)/N$9</f>
        <v>0.59721042935400703</v>
      </c>
      <c r="Q9" s="2">
        <v>4075605</v>
      </c>
      <c r="R9" s="12">
        <v>8253865</v>
      </c>
      <c r="S9" s="3">
        <f>(R9-Q$9)/Q$9</f>
        <v>1.0251876715236143</v>
      </c>
    </row>
    <row r="10" spans="1:19" x14ac:dyDescent="0.2">
      <c r="B10" s="9">
        <v>20</v>
      </c>
      <c r="C10" s="9">
        <f t="shared" ref="C10:C14" si="0">B10/2</f>
        <v>10</v>
      </c>
      <c r="D10" s="9">
        <f t="shared" ref="D10:D14" si="1">A$7/(2*C10)</f>
        <v>0.01</v>
      </c>
      <c r="G10" s="22"/>
      <c r="H10" s="4">
        <v>569396</v>
      </c>
      <c r="I10">
        <v>814578</v>
      </c>
      <c r="J10" s="5">
        <f t="shared" ref="J10:J14" si="2">(I10-H$10)/H$10</f>
        <v>0.43060014471475039</v>
      </c>
      <c r="K10" s="4"/>
      <c r="L10">
        <v>2706615</v>
      </c>
      <c r="M10" s="5">
        <f t="shared" ref="M10:M14" si="3">(L10-K$9)/K$9</f>
        <v>0.39966221300128302</v>
      </c>
      <c r="N10" s="4"/>
      <c r="O10">
        <v>2857691</v>
      </c>
      <c r="P10" s="5">
        <f t="shared" ref="P10:P14" si="4">(O10-N$9)/N$9</f>
        <v>0.58382955752173149</v>
      </c>
      <c r="Q10" s="4"/>
      <c r="R10">
        <v>7753865</v>
      </c>
      <c r="S10" s="3">
        <f t="shared" ref="S10:S14" si="5">(R10-Q$9)/Q$9</f>
        <v>0.9025064990351126</v>
      </c>
    </row>
    <row r="11" spans="1:19" x14ac:dyDescent="0.2">
      <c r="B11" s="9">
        <v>25</v>
      </c>
      <c r="C11" s="9">
        <f t="shared" si="0"/>
        <v>12.5</v>
      </c>
      <c r="D11" s="9">
        <f t="shared" si="1"/>
        <v>8.0000000000000002E-3</v>
      </c>
      <c r="G11" s="22"/>
      <c r="H11" s="4"/>
      <c r="I11">
        <v>789790</v>
      </c>
      <c r="J11" s="5">
        <f t="shared" si="2"/>
        <v>0.38706629481064148</v>
      </c>
      <c r="K11" s="4"/>
      <c r="L11">
        <v>2644881</v>
      </c>
      <c r="M11" s="5">
        <f t="shared" si="3"/>
        <v>0.36773792858793969</v>
      </c>
      <c r="N11" s="4"/>
      <c r="O11">
        <v>2577580</v>
      </c>
      <c r="P11" s="5">
        <f t="shared" si="4"/>
        <v>0.4285825132517353</v>
      </c>
      <c r="Q11" s="4"/>
      <c r="R11">
        <v>7251916</v>
      </c>
      <c r="S11" s="3">
        <f t="shared" si="5"/>
        <v>0.77934711533625067</v>
      </c>
    </row>
    <row r="12" spans="1:19" x14ac:dyDescent="0.2">
      <c r="B12" s="9">
        <v>30</v>
      </c>
      <c r="C12" s="9">
        <f t="shared" si="0"/>
        <v>15</v>
      </c>
      <c r="D12" s="9">
        <f t="shared" si="1"/>
        <v>6.6666666666666671E-3</v>
      </c>
      <c r="G12" s="22"/>
      <c r="H12" s="4"/>
      <c r="I12">
        <v>755004</v>
      </c>
      <c r="J12" s="5">
        <f t="shared" si="2"/>
        <v>0.3259734876957337</v>
      </c>
      <c r="K12" s="4"/>
      <c r="L12">
        <v>2622422</v>
      </c>
      <c r="M12" s="5">
        <f t="shared" si="3"/>
        <v>0.35612378559316732</v>
      </c>
      <c r="N12" s="4"/>
      <c r="O12">
        <v>2496585</v>
      </c>
      <c r="P12" s="5">
        <f t="shared" si="4"/>
        <v>0.38369232917953411</v>
      </c>
      <c r="Q12" s="4"/>
      <c r="R12">
        <v>7048829</v>
      </c>
      <c r="S12" s="3">
        <f t="shared" si="5"/>
        <v>0.72951721278190595</v>
      </c>
    </row>
    <row r="13" spans="1:19" x14ac:dyDescent="0.2">
      <c r="B13" s="9">
        <v>35</v>
      </c>
      <c r="C13" s="9">
        <f t="shared" si="0"/>
        <v>17.5</v>
      </c>
      <c r="D13" s="9">
        <f t="shared" si="1"/>
        <v>5.7142857142857143E-3</v>
      </c>
      <c r="G13" s="22"/>
      <c r="H13" s="4"/>
      <c r="I13">
        <v>735395</v>
      </c>
      <c r="J13" s="5">
        <f t="shared" si="2"/>
        <v>0.29153524085170951</v>
      </c>
      <c r="K13" s="4"/>
      <c r="L13">
        <v>2564286</v>
      </c>
      <c r="M13" s="5">
        <f t="shared" si="3"/>
        <v>0.32606012215561059</v>
      </c>
      <c r="N13" s="4"/>
      <c r="O13">
        <v>2450328</v>
      </c>
      <c r="P13" s="5">
        <f t="shared" si="4"/>
        <v>0.35805512633210146</v>
      </c>
      <c r="Q13" s="4"/>
      <c r="R13">
        <v>6652411</v>
      </c>
      <c r="S13" s="3">
        <f t="shared" si="5"/>
        <v>0.63225116271081228</v>
      </c>
    </row>
    <row r="14" spans="1:19" ht="17" thickBot="1" x14ac:dyDescent="0.25">
      <c r="B14" s="9">
        <v>40</v>
      </c>
      <c r="C14" s="9">
        <f t="shared" si="0"/>
        <v>20</v>
      </c>
      <c r="D14" s="9">
        <f t="shared" si="1"/>
        <v>5.0000000000000001E-3</v>
      </c>
      <c r="G14" s="23"/>
      <c r="H14" s="6"/>
      <c r="I14" s="1">
        <v>712602</v>
      </c>
      <c r="J14" s="7">
        <f t="shared" si="2"/>
        <v>0.25150510365369622</v>
      </c>
      <c r="K14" s="6"/>
      <c r="L14" s="1">
        <v>2474914</v>
      </c>
      <c r="M14" s="7">
        <f t="shared" si="3"/>
        <v>0.27984349685044135</v>
      </c>
      <c r="N14" s="6"/>
      <c r="O14" s="1">
        <v>2335767</v>
      </c>
      <c r="P14" s="7">
        <f t="shared" si="4"/>
        <v>0.29456152330110646</v>
      </c>
      <c r="Q14" s="6"/>
      <c r="R14" s="1">
        <v>6377688</v>
      </c>
      <c r="S14" s="3">
        <f t="shared" si="5"/>
        <v>0.564844483211695</v>
      </c>
    </row>
    <row r="15" spans="1:19" x14ac:dyDescent="0.2">
      <c r="B15" s="9"/>
      <c r="C15" s="9"/>
      <c r="D15" s="9"/>
    </row>
    <row r="16" spans="1:19" ht="17" thickBot="1" x14ac:dyDescent="0.25">
      <c r="B16" s="9"/>
      <c r="C16" s="9"/>
      <c r="D16" s="9"/>
    </row>
    <row r="17" spans="7:19" ht="17" thickBot="1" x14ac:dyDescent="0.25">
      <c r="H17" s="24" t="s">
        <v>7</v>
      </c>
      <c r="I17" s="24"/>
      <c r="J17" s="24"/>
      <c r="K17" s="24" t="s">
        <v>8</v>
      </c>
      <c r="L17" s="24"/>
      <c r="M17" s="24"/>
      <c r="N17" s="24" t="s">
        <v>9</v>
      </c>
      <c r="O17" s="24"/>
      <c r="P17" s="24"/>
      <c r="Q17" s="24" t="s">
        <v>12</v>
      </c>
      <c r="R17" s="24"/>
      <c r="S17" s="24"/>
    </row>
    <row r="18" spans="7:19" ht="17" thickBot="1" x14ac:dyDescent="0.25">
      <c r="H18" s="10" t="s">
        <v>10</v>
      </c>
      <c r="I18" s="10" t="s">
        <v>13</v>
      </c>
      <c r="J18" s="10" t="s">
        <v>14</v>
      </c>
      <c r="K18" s="10" t="s">
        <v>10</v>
      </c>
      <c r="L18" s="10" t="s">
        <v>13</v>
      </c>
      <c r="M18" s="10" t="s">
        <v>14</v>
      </c>
      <c r="N18" s="10" t="s">
        <v>10</v>
      </c>
      <c r="O18" s="10" t="s">
        <v>13</v>
      </c>
      <c r="P18" s="10" t="s">
        <v>10</v>
      </c>
      <c r="Q18" s="10" t="s">
        <v>10</v>
      </c>
      <c r="R18" s="10" t="s">
        <v>13</v>
      </c>
      <c r="S18" s="10" t="s">
        <v>14</v>
      </c>
    </row>
    <row r="19" spans="7:19" ht="17" thickBot="1" x14ac:dyDescent="0.25">
      <c r="H19" s="13"/>
      <c r="I19" s="14"/>
      <c r="J19" s="15">
        <v>0</v>
      </c>
      <c r="K19" s="13"/>
      <c r="L19" s="14"/>
      <c r="M19" s="15">
        <v>0</v>
      </c>
      <c r="N19" s="13"/>
      <c r="O19" s="14"/>
      <c r="P19" s="15">
        <v>0</v>
      </c>
      <c r="Q19" s="16"/>
      <c r="R19" s="14"/>
      <c r="S19" s="15">
        <v>0</v>
      </c>
    </row>
    <row r="20" spans="7:19" x14ac:dyDescent="0.2">
      <c r="G20" s="21" t="s">
        <v>26</v>
      </c>
      <c r="H20" s="2">
        <v>2.41</v>
      </c>
      <c r="I20" s="12">
        <v>1.7</v>
      </c>
      <c r="J20" s="3">
        <f>(I20-H$20/H$20)</f>
        <v>0.7</v>
      </c>
      <c r="K20" s="2">
        <v>2.5</v>
      </c>
      <c r="L20" s="12">
        <v>1.73</v>
      </c>
      <c r="M20" s="3">
        <f>(L20-K$20)/K$20</f>
        <v>-0.308</v>
      </c>
      <c r="N20" s="2">
        <v>2.4300000000000002</v>
      </c>
      <c r="O20" s="12">
        <v>1.56</v>
      </c>
      <c r="P20" s="3">
        <f>(O20-N$20)/N$20</f>
        <v>-0.35802469135802473</v>
      </c>
      <c r="Q20" s="2">
        <v>2.42</v>
      </c>
      <c r="R20" s="12">
        <v>0.7</v>
      </c>
      <c r="S20" s="3">
        <f>(R20-Q$20)/Q$20</f>
        <v>-0.71074380165289253</v>
      </c>
    </row>
    <row r="21" spans="7:19" x14ac:dyDescent="0.2">
      <c r="G21" s="22"/>
      <c r="H21" s="4"/>
      <c r="I21">
        <v>1.77</v>
      </c>
      <c r="J21" s="5">
        <f t="shared" ref="J21:J25" si="6">(I21-H$20/H$20)</f>
        <v>0.77</v>
      </c>
      <c r="K21" s="4"/>
      <c r="L21">
        <v>1.75</v>
      </c>
      <c r="M21" s="5">
        <f t="shared" ref="M21:M25" si="7">(L21-K$20)/K$20</f>
        <v>-0.3</v>
      </c>
      <c r="N21" s="4"/>
      <c r="O21">
        <v>1.68</v>
      </c>
      <c r="P21" s="5">
        <f t="shared" ref="P21:P25" si="8">(O21-N$20)/N$20</f>
        <v>-0.30864197530864207</v>
      </c>
      <c r="Q21" s="4"/>
      <c r="R21">
        <v>1.29</v>
      </c>
      <c r="S21" s="5">
        <f t="shared" ref="S21:S25" si="9">(R21-Q$20)/Q$20</f>
        <v>-0.46694214876033052</v>
      </c>
    </row>
    <row r="22" spans="7:19" x14ac:dyDescent="0.2">
      <c r="G22" s="22"/>
      <c r="H22" s="4"/>
      <c r="I22">
        <v>1.82</v>
      </c>
      <c r="J22" s="5">
        <f t="shared" si="6"/>
        <v>0.82000000000000006</v>
      </c>
      <c r="K22" s="4"/>
      <c r="L22">
        <v>1.79</v>
      </c>
      <c r="M22" s="5">
        <f t="shared" si="7"/>
        <v>-0.28399999999999997</v>
      </c>
      <c r="N22" s="4"/>
      <c r="O22">
        <v>1.73</v>
      </c>
      <c r="P22" s="5">
        <f t="shared" si="8"/>
        <v>-0.28806584362139925</v>
      </c>
      <c r="Q22" s="4"/>
      <c r="R22">
        <v>1.37</v>
      </c>
      <c r="S22" s="5">
        <f t="shared" si="9"/>
        <v>-0.4338842975206611</v>
      </c>
    </row>
    <row r="23" spans="7:19" x14ac:dyDescent="0.2">
      <c r="G23" s="22"/>
      <c r="H23" s="4"/>
      <c r="I23">
        <v>1.9</v>
      </c>
      <c r="J23" s="5">
        <f t="shared" si="6"/>
        <v>0.89999999999999991</v>
      </c>
      <c r="K23" s="4"/>
      <c r="L23">
        <v>1.81</v>
      </c>
      <c r="M23" s="5">
        <f t="shared" si="7"/>
        <v>-0.27599999999999997</v>
      </c>
      <c r="N23" s="4"/>
      <c r="O23">
        <v>1.76</v>
      </c>
      <c r="P23" s="5">
        <f t="shared" si="8"/>
        <v>-0.27572016460905352</v>
      </c>
      <c r="Q23" s="4"/>
      <c r="R23">
        <v>1.41</v>
      </c>
      <c r="S23" s="5">
        <f t="shared" si="9"/>
        <v>-0.41735537190082644</v>
      </c>
    </row>
    <row r="24" spans="7:19" x14ac:dyDescent="0.2">
      <c r="G24" s="22"/>
      <c r="H24" s="4"/>
      <c r="I24">
        <v>1.94</v>
      </c>
      <c r="J24" s="5">
        <f t="shared" si="6"/>
        <v>0.94</v>
      </c>
      <c r="K24" s="4"/>
      <c r="L24">
        <v>1.84</v>
      </c>
      <c r="M24" s="5">
        <f t="shared" si="7"/>
        <v>-0.26399999999999996</v>
      </c>
      <c r="N24" s="4"/>
      <c r="O24">
        <v>1.84</v>
      </c>
      <c r="P24" s="5">
        <f t="shared" si="8"/>
        <v>-0.24279835390946503</v>
      </c>
      <c r="Q24" s="4"/>
      <c r="R24">
        <v>1.5</v>
      </c>
      <c r="S24" s="5">
        <f t="shared" si="9"/>
        <v>-0.3801652892561983</v>
      </c>
    </row>
    <row r="25" spans="7:19" ht="17" thickBot="1" x14ac:dyDescent="0.25">
      <c r="G25" s="23"/>
      <c r="H25" s="6"/>
      <c r="I25" s="1">
        <v>1.99</v>
      </c>
      <c r="J25" s="7">
        <f t="shared" si="6"/>
        <v>0.99</v>
      </c>
      <c r="K25" s="6"/>
      <c r="L25" s="1">
        <v>1.8</v>
      </c>
      <c r="M25" s="7">
        <f t="shared" si="7"/>
        <v>-0.27999999999999997</v>
      </c>
      <c r="N25" s="6"/>
      <c r="O25" s="1">
        <v>1.91</v>
      </c>
      <c r="P25" s="7">
        <f t="shared" si="8"/>
        <v>-0.21399176954732518</v>
      </c>
      <c r="Q25" s="6"/>
      <c r="R25" s="1">
        <v>1.56</v>
      </c>
      <c r="S25" s="7">
        <f t="shared" si="9"/>
        <v>-0.35537190082644626</v>
      </c>
    </row>
    <row r="26" spans="7:19" x14ac:dyDescent="0.2">
      <c r="J26" t="s">
        <v>18</v>
      </c>
    </row>
    <row r="27" spans="7:19" x14ac:dyDescent="0.2">
      <c r="M27" t="s">
        <v>24</v>
      </c>
      <c r="P27" t="s">
        <v>19</v>
      </c>
      <c r="S27" t="s">
        <v>15</v>
      </c>
    </row>
    <row r="28" spans="7:19" x14ac:dyDescent="0.2">
      <c r="S28">
        <v>15</v>
      </c>
    </row>
  </sheetData>
  <mergeCells count="10">
    <mergeCell ref="Q17:S17"/>
    <mergeCell ref="H6:J6"/>
    <mergeCell ref="K6:M6"/>
    <mergeCell ref="N6:P6"/>
    <mergeCell ref="Q6:S6"/>
    <mergeCell ref="G20:G25"/>
    <mergeCell ref="G9:G14"/>
    <mergeCell ref="H17:J17"/>
    <mergeCell ref="K17:M17"/>
    <mergeCell ref="N17:P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981E-6AE3-9844-BDDD-B597AF7B4B14}">
  <dimension ref="A4:J26"/>
  <sheetViews>
    <sheetView tabSelected="1" zoomScale="91" workbookViewId="0">
      <selection activeCell="E26" sqref="E26"/>
    </sheetView>
  </sheetViews>
  <sheetFormatPr baseColWidth="10" defaultRowHeight="16" x14ac:dyDescent="0.2"/>
  <cols>
    <col min="6" max="6" width="19.33203125" customWidth="1"/>
  </cols>
  <sheetData>
    <row r="4" spans="1:10" x14ac:dyDescent="0.2">
      <c r="F4" t="s">
        <v>5</v>
      </c>
    </row>
    <row r="5" spans="1:10" ht="17" thickBot="1" x14ac:dyDescent="0.25"/>
    <row r="6" spans="1:10" ht="17" thickBot="1" x14ac:dyDescent="0.25">
      <c r="A6" t="s">
        <v>2</v>
      </c>
      <c r="B6" t="s">
        <v>3</v>
      </c>
      <c r="E6" t="s">
        <v>6</v>
      </c>
      <c r="G6" t="s">
        <v>11</v>
      </c>
      <c r="H6" s="24" t="s">
        <v>7</v>
      </c>
      <c r="I6" s="24"/>
      <c r="J6" s="24"/>
    </row>
    <row r="7" spans="1:10" ht="17" thickBot="1" x14ac:dyDescent="0.25">
      <c r="A7">
        <v>0.2</v>
      </c>
      <c r="B7" s="8" t="s">
        <v>16</v>
      </c>
      <c r="C7" s="8" t="s">
        <v>17</v>
      </c>
      <c r="D7" s="8" t="s">
        <v>4</v>
      </c>
      <c r="H7" s="10" t="s">
        <v>0</v>
      </c>
      <c r="I7" s="10" t="s">
        <v>1</v>
      </c>
      <c r="J7" s="10" t="s">
        <v>27</v>
      </c>
    </row>
    <row r="8" spans="1:10" ht="17" thickBot="1" x14ac:dyDescent="0.25">
      <c r="B8" s="11"/>
      <c r="C8" s="11"/>
      <c r="D8" s="11">
        <v>0</v>
      </c>
      <c r="H8" s="13">
        <v>31307</v>
      </c>
      <c r="I8" s="14"/>
      <c r="J8" s="15"/>
    </row>
    <row r="9" spans="1:10" x14ac:dyDescent="0.2">
      <c r="B9" s="9">
        <v>15</v>
      </c>
      <c r="C9" s="9">
        <f>B9/2</f>
        <v>7.5</v>
      </c>
      <c r="D9" s="9">
        <f>A$7/(2*C9)</f>
        <v>1.3333333333333334E-2</v>
      </c>
      <c r="G9" s="21" t="s">
        <v>30</v>
      </c>
      <c r="H9" s="2">
        <v>31307</v>
      </c>
      <c r="I9" s="12">
        <v>131739</v>
      </c>
      <c r="J9" s="3">
        <f>(I9-H$8)/H$8</f>
        <v>3.2079726578720416</v>
      </c>
    </row>
    <row r="10" spans="1:10" ht="17" x14ac:dyDescent="0.2">
      <c r="B10" s="9">
        <v>20</v>
      </c>
      <c r="C10" s="9">
        <f t="shared" ref="C10:C14" si="0">B10/2</f>
        <v>10</v>
      </c>
      <c r="D10" s="9">
        <f t="shared" ref="D10:D14" si="1">A$7/(2*C10)</f>
        <v>0.01</v>
      </c>
      <c r="G10" s="22"/>
      <c r="H10" s="4"/>
      <c r="I10" s="28">
        <v>113806</v>
      </c>
      <c r="J10" s="3">
        <f t="shared" ref="J10:J13" si="2">(I10-H$8)/H$8</f>
        <v>2.6351614654869517</v>
      </c>
    </row>
    <row r="11" spans="1:10" ht="17" x14ac:dyDescent="0.2">
      <c r="B11" s="9">
        <v>25</v>
      </c>
      <c r="C11" s="9">
        <f t="shared" si="0"/>
        <v>12.5</v>
      </c>
      <c r="D11" s="9">
        <f t="shared" si="1"/>
        <v>8.0000000000000002E-3</v>
      </c>
      <c r="G11" s="22"/>
      <c r="H11" s="4"/>
      <c r="I11" s="28">
        <v>111683</v>
      </c>
      <c r="J11" s="3">
        <f t="shared" si="2"/>
        <v>2.5673491551410228</v>
      </c>
    </row>
    <row r="12" spans="1:10" x14ac:dyDescent="0.2">
      <c r="B12" s="9">
        <v>30</v>
      </c>
      <c r="C12" s="9">
        <f t="shared" si="0"/>
        <v>15</v>
      </c>
      <c r="D12" s="9">
        <f t="shared" si="1"/>
        <v>6.6666666666666671E-3</v>
      </c>
      <c r="G12" s="22"/>
      <c r="H12" s="4"/>
      <c r="I12">
        <v>89206</v>
      </c>
      <c r="J12" s="3">
        <f t="shared" si="2"/>
        <v>1.8493947040597949</v>
      </c>
    </row>
    <row r="13" spans="1:10" x14ac:dyDescent="0.2">
      <c r="B13" s="9">
        <v>35</v>
      </c>
      <c r="C13" s="9">
        <f t="shared" si="0"/>
        <v>17.5</v>
      </c>
      <c r="D13" s="9">
        <f t="shared" si="1"/>
        <v>5.7142857142857143E-3</v>
      </c>
      <c r="G13" s="22"/>
      <c r="H13" s="4"/>
      <c r="I13">
        <v>75033</v>
      </c>
      <c r="J13" s="3">
        <f t="shared" si="2"/>
        <v>1.3966844475676365</v>
      </c>
    </row>
    <row r="14" spans="1:10" ht="18" thickBot="1" x14ac:dyDescent="0.25">
      <c r="B14" s="9">
        <v>40</v>
      </c>
      <c r="C14" s="9">
        <f t="shared" si="0"/>
        <v>20</v>
      </c>
      <c r="D14" s="9">
        <f t="shared" si="1"/>
        <v>5.0000000000000001E-3</v>
      </c>
      <c r="G14" s="23"/>
      <c r="H14" s="6"/>
      <c r="I14" s="28"/>
      <c r="J14" s="3"/>
    </row>
    <row r="15" spans="1:10" x14ac:dyDescent="0.2">
      <c r="B15" s="9"/>
      <c r="C15" s="9"/>
      <c r="D15" s="9"/>
    </row>
    <row r="16" spans="1:10" ht="17" thickBot="1" x14ac:dyDescent="0.25">
      <c r="B16" s="9"/>
      <c r="C16" s="9"/>
      <c r="D16" s="9"/>
    </row>
    <row r="17" spans="7:10" ht="17" thickBot="1" x14ac:dyDescent="0.25">
      <c r="H17" s="24" t="s">
        <v>7</v>
      </c>
      <c r="I17" s="24"/>
      <c r="J17" s="24"/>
    </row>
    <row r="18" spans="7:10" ht="17" thickBot="1" x14ac:dyDescent="0.25">
      <c r="H18" s="10" t="s">
        <v>10</v>
      </c>
      <c r="I18" s="10" t="s">
        <v>13</v>
      </c>
      <c r="J18" s="10" t="s">
        <v>14</v>
      </c>
    </row>
    <row r="19" spans="7:10" ht="17" thickBot="1" x14ac:dyDescent="0.25">
      <c r="H19" s="13"/>
      <c r="I19" s="14"/>
      <c r="J19" s="15">
        <v>0</v>
      </c>
    </row>
    <row r="20" spans="7:10" x14ac:dyDescent="0.2">
      <c r="G20" s="25" t="s">
        <v>22</v>
      </c>
      <c r="H20" s="2">
        <v>3</v>
      </c>
      <c r="I20" s="12">
        <v>1.31</v>
      </c>
      <c r="J20" s="3">
        <f>ABS(I20-H$20)/H$20</f>
        <v>0.56333333333333335</v>
      </c>
    </row>
    <row r="21" spans="7:10" x14ac:dyDescent="0.2">
      <c r="G21" s="26"/>
      <c r="H21" s="4"/>
      <c r="I21">
        <v>1.46</v>
      </c>
      <c r="J21" s="5">
        <f t="shared" ref="J21:J25" si="3">ABS(I21-H$20)/H$20</f>
        <v>0.51333333333333331</v>
      </c>
    </row>
    <row r="22" spans="7:10" x14ac:dyDescent="0.2">
      <c r="G22" s="26"/>
      <c r="H22" s="4"/>
      <c r="I22">
        <v>1.48</v>
      </c>
      <c r="J22" s="5">
        <f t="shared" si="3"/>
        <v>0.50666666666666671</v>
      </c>
    </row>
    <row r="23" spans="7:10" x14ac:dyDescent="0.2">
      <c r="G23" s="26"/>
      <c r="H23" s="4"/>
      <c r="I23">
        <v>1.72</v>
      </c>
      <c r="J23" s="5">
        <f t="shared" si="3"/>
        <v>0.42666666666666669</v>
      </c>
    </row>
    <row r="24" spans="7:10" x14ac:dyDescent="0.2">
      <c r="G24" s="26"/>
      <c r="H24" s="4"/>
      <c r="I24">
        <v>1.93</v>
      </c>
      <c r="J24" s="5">
        <f t="shared" si="3"/>
        <v>0.35666666666666669</v>
      </c>
    </row>
    <row r="25" spans="7:10" ht="17" thickBot="1" x14ac:dyDescent="0.25">
      <c r="G25" s="27"/>
      <c r="H25" s="6"/>
      <c r="I25" s="1"/>
      <c r="J25" s="7"/>
    </row>
    <row r="26" spans="7:10" x14ac:dyDescent="0.2">
      <c r="J26" t="s">
        <v>23</v>
      </c>
    </row>
  </sheetData>
  <mergeCells count="4">
    <mergeCell ref="G20:G25"/>
    <mergeCell ref="H6:J6"/>
    <mergeCell ref="G9:G14"/>
    <mergeCell ref="H17:J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compression</vt:lpstr>
      <vt:lpstr>flexion</vt:lpstr>
      <vt:lpstr>Flex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LAMMERTYN</dc:creator>
  <cp:lastModifiedBy>Louise LAMMERTYN</cp:lastModifiedBy>
  <dcterms:created xsi:type="dcterms:W3CDTF">2026-04-16T07:52:30Z</dcterms:created>
  <dcterms:modified xsi:type="dcterms:W3CDTF">2026-04-16T15:13:58Z</dcterms:modified>
</cp:coreProperties>
</file>